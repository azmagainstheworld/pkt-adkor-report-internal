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<sst xmlns="http://schemas.openxmlformats.org/spreadsheetml/2006/main" count="76" uniqueCount="52">
  <si>
    <t>REKAPITULASI PEMAKAIAN MESIN FOTOCOPY &amp; BIAYA FEE PER LBR, BIAYA SEWA BULAN JANUARI 2025</t>
  </si>
  <si>
    <t>NO</t>
  </si>
  <si>
    <t>UNIT KERJA</t>
  </si>
  <si>
    <t>Cost Centre</t>
  </si>
  <si>
    <t>Jlh pemakaian bln Januari</t>
  </si>
  <si>
    <t>Jlh pemakaian s.d. bln Januari</t>
  </si>
  <si>
    <t>Ket.</t>
  </si>
  <si>
    <t>Type mesin</t>
  </si>
  <si>
    <t>Biaya fee/lbr &amp; sewa bulan Januari</t>
  </si>
  <si>
    <t>Total biaya Sewa &amp; Fee s.d. bln Januari</t>
  </si>
  <si>
    <t>Biaya fee bulan Januari</t>
  </si>
  <si>
    <t>Biaya fee s.d. bulan Januari</t>
  </si>
  <si>
    <t>Biaya fee/Lbr</t>
  </si>
  <si>
    <t>Biaya sewa/bulan</t>
  </si>
  <si>
    <t>Biaya Jasa Sewa bln Januari &amp; Fee Januari</t>
  </si>
  <si>
    <t>Direksi</t>
  </si>
  <si>
    <t>D001000000</t>
  </si>
  <si>
    <t>KOPKAR</t>
  </si>
  <si>
    <t>Bizhub-350</t>
  </si>
  <si>
    <t>Administrasi Korporat</t>
  </si>
  <si>
    <t>D001220000</t>
  </si>
  <si>
    <t>Bizhub 362</t>
  </si>
  <si>
    <t>Keamanan</t>
  </si>
  <si>
    <t>D006220000</t>
  </si>
  <si>
    <t>Akuntansi</t>
  </si>
  <si>
    <t>D005120000</t>
  </si>
  <si>
    <t>Laboratorium</t>
  </si>
  <si>
    <t>D002320000</t>
  </si>
  <si>
    <t>D1-3010</t>
  </si>
  <si>
    <t>Operasi Pabrik-1</t>
  </si>
  <si>
    <t>D002110000</t>
  </si>
  <si>
    <t>Operasi Pabrik-2</t>
  </si>
  <si>
    <t>D002120000</t>
  </si>
  <si>
    <t>Operasi Pabrik-4</t>
  </si>
  <si>
    <t>D002220000</t>
  </si>
  <si>
    <t>Operasi pabrik-5</t>
  </si>
  <si>
    <t>D002140000</t>
  </si>
  <si>
    <t>Bizhub 350</t>
  </si>
  <si>
    <t>Operasi Pabrik-6</t>
  </si>
  <si>
    <t>D002150000</t>
  </si>
  <si>
    <t>Operasi Pabrik 1A</t>
  </si>
  <si>
    <t>D002230000</t>
  </si>
  <si>
    <t>Pengadaan Barang</t>
  </si>
  <si>
    <t>D003120000</t>
  </si>
  <si>
    <t>Pengadaan Jasa</t>
  </si>
  <si>
    <t>D003130000</t>
  </si>
  <si>
    <t>Bizhub-282</t>
  </si>
  <si>
    <t>PIKA PKT</t>
  </si>
  <si>
    <t>D007000003</t>
  </si>
  <si>
    <t>KKPKT</t>
  </si>
  <si>
    <t>Di-2510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</si>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</sst>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8.0"/>
      <color theme="1"/>
      <name val="Tahoma"/>
    </font>
    <font/>
    <font>
      <sz val="8.0"/>
      <color theme="1"/>
      <name val="Tahoma"/>
    </font>
    <font>
      <b/>
      <sz val="8.0"/>
      <color rgb="FFFF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0" fillId="0" fontId="1" numFmtId="0" xfId="0" applyFont="1"/>
    <xf borderId="2" fillId="0" fontId="2" numFmtId="0" xfId="0" applyAlignment="1" applyBorder="1" applyFont="1">
      <alignment horizontal="center" shrinkToFit="0" textRotation="0" wrapText="1"/>
    </xf>
    <xf borderId="3" fillId="0" fontId="2" numFmtId="0" xfId="0" applyAlignment="1" applyBorder="1" applyFont="1">
      <alignment horizontal="center" shrinkToFit="0" textRotation="0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shrinkToFit="0" textRotation="0" wrapText="1"/>
    </xf>
    <xf borderId="7" fillId="0" fontId="2" numFmtId="0" xfId="0" applyAlignment="1" applyBorder="1" applyFont="1">
      <alignment horizontal="center" shrinkToFit="0" textRotation="0" wrapText="1"/>
    </xf>
    <xf borderId="8" fillId="0" fontId="2" numFmtId="0" xfId="0" applyAlignment="1" applyBorder="1" applyFont="1">
      <alignment horizontal="center" shrinkToFit="0" textRotation="0" wrapText="1"/>
    </xf>
    <xf borderId="5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center" vertical="bottom"/>
    </xf>
    <xf borderId="9" fillId="2" fontId="4" numFmtId="0" xfId="0" applyAlignment="1" applyBorder="1" applyFill="1" applyFont="1">
      <alignment horizontal="center" vertical="bottom"/>
    </xf>
    <xf borderId="9" fillId="0" fontId="4" numFmtId="3" xfId="0" applyAlignment="1" applyBorder="1" applyFont="1" applyNumberFormat="1">
      <alignment horizontal="center" shrinkToFit="0" vertical="bottom" wrapText="1"/>
    </xf>
    <xf borderId="9" fillId="0" fontId="4" numFmtId="0" xfId="0" applyAlignment="1" applyBorder="1" applyFont="1">
      <alignment horizontal="center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2" fontId="4" numFmtId="3" xfId="0" applyAlignment="1" applyBorder="1" applyFill="1" applyFont="1" applyNumberFormat="1">
      <alignment horizontal="center" vertical="bottom"/>
    </xf>
    <xf borderId="9" fillId="0" fontId="4" numFmtId="3" xfId="0" applyAlignment="1" applyBorder="1" applyFont="1" applyNumberFormat="1">
      <alignment horizontal="center" vertical="bottom"/>
    </xf>
    <xf borderId="9" fillId="3" fontId="4" numFmtId="0" xfId="0" applyAlignment="1" applyBorder="1" applyFill="1" applyFont="1">
      <alignment vertical="bottom"/>
    </xf>
    <xf borderId="9" fillId="4" fontId="4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vertical="bottom"/>
    </xf>
    <xf borderId="9" fillId="0" fontId="2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9" fillId="3" fontId="2" numFmtId="3" xfId="0" applyAlignment="1" applyBorder="1" applyFill="1" applyFont="1" applyNumberFormat="1">
      <alignment horizontal="center" vertical="bottom"/>
    </xf>
    <xf borderId="9" fillId="0" fontId="2" numFmtId="3" xfId="0" applyAlignment="1" applyBorder="1" applyFont="1" applyNumberFormat="1">
      <alignment horizontal="center" shrinkToFit="0" vertical="bottom" wrapText="1"/>
    </xf>
    <xf borderId="9" fillId="0" fontId="2" numFmtId="3" xfId="0" applyAlignment="1" applyBorder="1" applyFont="1" applyNumberFormat="1">
      <alignment horizontal="right" shrinkToFit="0" vertical="bottom" wrapText="1"/>
    </xf>
    <xf borderId="9" fillId="0" fontId="5" numFmtId="3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7"/>
      <c r="K2" s="7"/>
      <c r="L2" s="7"/>
      <c r="M2" s="8"/>
      <c r="N2" s="5" t="s">
        <v>9</v>
      </c>
    </row>
    <row r="3">
      <c r="A3" s="4"/>
      <c r="B3" s="9"/>
      <c r="C3" s="9"/>
      <c r="D3" s="9"/>
      <c r="E3" s="9"/>
      <c r="F3" s="9"/>
      <c r="G3" s="9"/>
      <c r="H3" s="9"/>
      <c r="I3" s="10" t="s">
        <v>10</v>
      </c>
      <c r="J3" s="10" t="s">
        <v>11</v>
      </c>
      <c r="K3" s="10" t="s">
        <v>12</v>
      </c>
      <c r="L3" s="11" t="s">
        <v>13</v>
      </c>
      <c r="M3" s="12" t="s">
        <v>14</v>
      </c>
      <c r="N3" s="9"/>
    </row>
    <row r="4">
      <c r="A4" s="1"/>
      <c r="B4" s="13">
        <v>1.0</v>
      </c>
      <c r="C4" s="14" t="s">
        <v>15</v>
      </c>
      <c r="D4" s="15" t="s">
        <v>16</v>
      </c>
      <c r="E4" s="16">
        <v>120.0</v>
      </c>
      <c r="F4" s="15">
        <f t="shared" ref="F4:F18" si="1">E4</f>
        <v>120</v>
      </c>
      <c r="G4" s="15" t="s">
        <v>17</v>
      </c>
      <c r="H4" s="15" t="s">
        <v>18</v>
      </c>
      <c r="I4" s="17">
        <v>5666.0</v>
      </c>
      <c r="J4" s="17">
        <f>K4*F4</f>
        <v>5666.4</v>
      </c>
      <c r="K4" s="18">
        <v>47.22</v>
      </c>
      <c r="L4" s="19">
        <v>909000.0</v>
      </c>
      <c r="M4" s="19">
        <f t="shared" ref="M4:M18" si="2">L4+I4</f>
        <v>914666</v>
      </c>
      <c r="N4" s="19">
        <f t="shared" ref="N4:N18" si="3">L4+J4</f>
        <v>914666.4</v>
      </c>
    </row>
    <row r="5">
      <c r="A5" s="1"/>
      <c r="B5" s="13">
        <v>2.0</v>
      </c>
      <c r="C5" s="14" t="s">
        <v>19</v>
      </c>
      <c r="D5" s="15" t="s">
        <v>20</v>
      </c>
      <c r="E5" s="20">
        <v>9648.0</v>
      </c>
      <c r="F5" s="21">
        <f t="shared" si="1"/>
        <v>9648</v>
      </c>
      <c r="G5" s="15" t="s">
        <v>17</v>
      </c>
      <c r="H5" s="15" t="s">
        <v>21</v>
      </c>
      <c r="I5" s="17">
        <v>455579.0</v>
      </c>
      <c r="J5" s="17">
        <f t="shared" ref="J5:J18" si="4">F5*K5</f>
        <v>455578.56</v>
      </c>
      <c r="K5" s="18">
        <v>47.22</v>
      </c>
      <c r="L5" s="19">
        <v>909000.0</v>
      </c>
      <c r="M5" s="19">
        <f t="shared" si="2"/>
        <v>1364579</v>
      </c>
      <c r="N5" s="19">
        <f t="shared" si="3"/>
        <v>1364578.56</v>
      </c>
    </row>
    <row r="6">
      <c r="A6" s="1"/>
      <c r="B6" s="13">
        <v>3.0</v>
      </c>
      <c r="C6" s="22" t="s">
        <v>22</v>
      </c>
      <c r="D6" s="15" t="s">
        <v>23</v>
      </c>
      <c r="E6" s="16">
        <v>86.0</v>
      </c>
      <c r="F6" s="15">
        <f t="shared" si="1"/>
        <v>86</v>
      </c>
      <c r="G6" s="15" t="s">
        <v>17</v>
      </c>
      <c r="H6" s="15" t="s">
        <v>21</v>
      </c>
      <c r="I6" s="17">
        <v>4061.0</v>
      </c>
      <c r="J6" s="17">
        <f t="shared" si="4"/>
        <v>4060.92</v>
      </c>
      <c r="K6" s="18">
        <v>47.22</v>
      </c>
      <c r="L6" s="19">
        <v>909000.0</v>
      </c>
      <c r="M6" s="19">
        <f t="shared" si="2"/>
        <v>913061</v>
      </c>
      <c r="N6" s="19">
        <f t="shared" si="3"/>
        <v>913060.92</v>
      </c>
    </row>
    <row r="7">
      <c r="A7" s="1"/>
      <c r="B7" s="13">
        <v>4.0</v>
      </c>
      <c r="C7" s="14" t="s">
        <v>24</v>
      </c>
      <c r="D7" s="15" t="s">
        <v>25</v>
      </c>
      <c r="E7" s="16">
        <v>999.0</v>
      </c>
      <c r="F7" s="15">
        <f t="shared" si="1"/>
        <v>999</v>
      </c>
      <c r="G7" s="15" t="s">
        <v>17</v>
      </c>
      <c r="H7" s="23" t="s">
        <v>21</v>
      </c>
      <c r="I7" s="17">
        <v>47173.0</v>
      </c>
      <c r="J7" s="17">
        <f t="shared" si="4"/>
        <v>47172.78</v>
      </c>
      <c r="K7" s="18">
        <v>47.22</v>
      </c>
      <c r="L7" s="19">
        <v>909000.0</v>
      </c>
      <c r="M7" s="19">
        <f t="shared" si="2"/>
        <v>956173</v>
      </c>
      <c r="N7" s="19">
        <f t="shared" si="3"/>
        <v>956172.78</v>
      </c>
    </row>
    <row r="8">
      <c r="A8" s="1"/>
      <c r="B8" s="13">
        <v>5.0</v>
      </c>
      <c r="C8" s="14" t="s">
        <v>26</v>
      </c>
      <c r="D8" s="15" t="s">
        <v>27</v>
      </c>
      <c r="E8" s="20">
        <v>1160.0</v>
      </c>
      <c r="F8" s="21">
        <f t="shared" si="1"/>
        <v>1160</v>
      </c>
      <c r="G8" s="15" t="s">
        <v>17</v>
      </c>
      <c r="H8" s="15" t="s">
        <v>28</v>
      </c>
      <c r="I8" s="17">
        <v>54775.0</v>
      </c>
      <c r="J8" s="17">
        <f t="shared" si="4"/>
        <v>54775.2</v>
      </c>
      <c r="K8" s="18">
        <v>47.22</v>
      </c>
      <c r="L8" s="19">
        <v>909000.0</v>
      </c>
      <c r="M8" s="19">
        <f t="shared" si="2"/>
        <v>963775</v>
      </c>
      <c r="N8" s="19">
        <f t="shared" si="3"/>
        <v>963775.2</v>
      </c>
    </row>
    <row r="9">
      <c r="A9" s="1"/>
      <c r="B9" s="13">
        <v>6.0</v>
      </c>
      <c r="C9" s="14" t="s">
        <v>29</v>
      </c>
      <c r="D9" s="15" t="s">
        <v>30</v>
      </c>
      <c r="E9" s="16">
        <v>226.0</v>
      </c>
      <c r="F9" s="15">
        <f t="shared" si="1"/>
        <v>226</v>
      </c>
      <c r="G9" s="15" t="s">
        <v>17</v>
      </c>
      <c r="H9" s="15" t="s">
        <v>28</v>
      </c>
      <c r="I9" s="17">
        <v>10672.0</v>
      </c>
      <c r="J9" s="17">
        <f t="shared" si="4"/>
        <v>10671.72</v>
      </c>
      <c r="K9" s="18">
        <v>47.22</v>
      </c>
      <c r="L9" s="19">
        <v>909000.0</v>
      </c>
      <c r="M9" s="19">
        <f t="shared" si="2"/>
        <v>919672</v>
      </c>
      <c r="N9" s="19">
        <f t="shared" si="3"/>
        <v>919671.72</v>
      </c>
    </row>
    <row r="10">
      <c r="A10" s="1"/>
      <c r="B10" s="13">
        <v>7.0</v>
      </c>
      <c r="C10" s="14" t="s">
        <v>31</v>
      </c>
      <c r="D10" s="15" t="s">
        <v>32</v>
      </c>
      <c r="E10" s="16">
        <v>754.0</v>
      </c>
      <c r="F10" s="15">
        <f t="shared" si="1"/>
        <v>754</v>
      </c>
      <c r="G10" s="15" t="s">
        <v>17</v>
      </c>
      <c r="H10" s="15" t="s">
        <v>21</v>
      </c>
      <c r="I10" s="17">
        <v>35604.0</v>
      </c>
      <c r="J10" s="17">
        <f t="shared" si="4"/>
        <v>35603.88</v>
      </c>
      <c r="K10" s="18">
        <v>47.22</v>
      </c>
      <c r="L10" s="19">
        <v>909000.0</v>
      </c>
      <c r="M10" s="19">
        <f t="shared" si="2"/>
        <v>944604</v>
      </c>
      <c r="N10" s="19">
        <f t="shared" si="3"/>
        <v>944603.88</v>
      </c>
    </row>
    <row r="11">
      <c r="A11" s="1"/>
      <c r="B11" s="13">
        <v>8.0</v>
      </c>
      <c r="C11" s="14" t="s">
        <v>33</v>
      </c>
      <c r="D11" s="15" t="s">
        <v>34</v>
      </c>
      <c r="E11" s="16">
        <v>6875.0</v>
      </c>
      <c r="F11" s="15">
        <f t="shared" si="1"/>
        <v>6875</v>
      </c>
      <c r="G11" s="15" t="s">
        <v>17</v>
      </c>
      <c r="H11" s="15" t="s">
        <v>21</v>
      </c>
      <c r="I11" s="17">
        <v>324638.0</v>
      </c>
      <c r="J11" s="17">
        <f t="shared" si="4"/>
        <v>324637.5</v>
      </c>
      <c r="K11" s="18">
        <v>47.22</v>
      </c>
      <c r="L11" s="19">
        <v>909000.0</v>
      </c>
      <c r="M11" s="19">
        <f t="shared" si="2"/>
        <v>1233638</v>
      </c>
      <c r="N11" s="19">
        <f t="shared" si="3"/>
        <v>1233637.5</v>
      </c>
    </row>
    <row r="12">
      <c r="A12" s="1"/>
      <c r="B12" s="13">
        <v>9.0</v>
      </c>
      <c r="C12" s="14" t="s">
        <v>35</v>
      </c>
      <c r="D12" s="15" t="s">
        <v>36</v>
      </c>
      <c r="E12" s="16">
        <v>711.0</v>
      </c>
      <c r="F12" s="15">
        <f t="shared" si="1"/>
        <v>711</v>
      </c>
      <c r="G12" s="15" t="s">
        <v>17</v>
      </c>
      <c r="H12" s="15" t="s">
        <v>37</v>
      </c>
      <c r="I12" s="17">
        <v>33573.0</v>
      </c>
      <c r="J12" s="17">
        <f t="shared" si="4"/>
        <v>33573.42</v>
      </c>
      <c r="K12" s="18">
        <v>47.22</v>
      </c>
      <c r="L12" s="19">
        <v>909000.0</v>
      </c>
      <c r="M12" s="19">
        <f t="shared" si="2"/>
        <v>942573</v>
      </c>
      <c r="N12" s="19">
        <f t="shared" si="3"/>
        <v>942573.42</v>
      </c>
    </row>
    <row r="13">
      <c r="A13" s="1"/>
      <c r="B13" s="13">
        <v>10.0</v>
      </c>
      <c r="C13" s="14" t="s">
        <v>38</v>
      </c>
      <c r="D13" s="15" t="s">
        <v>39</v>
      </c>
      <c r="E13" s="16">
        <v>261.0</v>
      </c>
      <c r="F13" s="15">
        <f t="shared" si="1"/>
        <v>261</v>
      </c>
      <c r="G13" s="15" t="s">
        <v>17</v>
      </c>
      <c r="H13" s="15" t="s">
        <v>21</v>
      </c>
      <c r="I13" s="17">
        <v>12234.0</v>
      </c>
      <c r="J13" s="17">
        <f t="shared" si="4"/>
        <v>12324.42</v>
      </c>
      <c r="K13" s="18">
        <v>47.22</v>
      </c>
      <c r="L13" s="19">
        <v>909000.0</v>
      </c>
      <c r="M13" s="19">
        <f t="shared" si="2"/>
        <v>921234</v>
      </c>
      <c r="N13" s="19">
        <f t="shared" si="3"/>
        <v>921324.42</v>
      </c>
    </row>
    <row r="14">
      <c r="A14" s="1"/>
      <c r="B14" s="13">
        <v>11.0</v>
      </c>
      <c r="C14" s="14" t="s">
        <v>40</v>
      </c>
      <c r="D14" s="15" t="s">
        <v>41</v>
      </c>
      <c r="E14" s="16">
        <v>324.0</v>
      </c>
      <c r="F14" s="15">
        <f t="shared" si="1"/>
        <v>324</v>
      </c>
      <c r="G14" s="15" t="s">
        <v>17</v>
      </c>
      <c r="H14" s="15" t="s">
        <v>37</v>
      </c>
      <c r="I14" s="17">
        <v>15299.0</v>
      </c>
      <c r="J14" s="17">
        <f t="shared" si="4"/>
        <v>15299.28</v>
      </c>
      <c r="K14" s="18">
        <v>47.22</v>
      </c>
      <c r="L14" s="19">
        <v>909000.0</v>
      </c>
      <c r="M14" s="19">
        <f t="shared" si="2"/>
        <v>924299</v>
      </c>
      <c r="N14" s="19">
        <f t="shared" si="3"/>
        <v>924299.28</v>
      </c>
    </row>
    <row r="15">
      <c r="A15" s="1"/>
      <c r="B15" s="13">
        <v>12.0</v>
      </c>
      <c r="C15" s="14" t="s">
        <v>42</v>
      </c>
      <c r="D15" s="15" t="s">
        <v>43</v>
      </c>
      <c r="E15" s="16">
        <v>145462.0</v>
      </c>
      <c r="F15" s="15">
        <f t="shared" si="1"/>
        <v>145462</v>
      </c>
      <c r="G15" s="15" t="s">
        <v>17</v>
      </c>
      <c r="H15" s="15" t="s">
        <v>21</v>
      </c>
      <c r="I15" s="17">
        <v>6868716.0</v>
      </c>
      <c r="J15" s="17">
        <f t="shared" si="4"/>
        <v>6868715.64</v>
      </c>
      <c r="K15" s="18">
        <v>47.22</v>
      </c>
      <c r="L15" s="19">
        <v>909000.0</v>
      </c>
      <c r="M15" s="19">
        <f t="shared" si="2"/>
        <v>7777716</v>
      </c>
      <c r="N15" s="19">
        <f t="shared" si="3"/>
        <v>7777715.64</v>
      </c>
    </row>
    <row r="16">
      <c r="A16" s="1"/>
      <c r="B16" s="13">
        <v>13.0</v>
      </c>
      <c r="C16" s="14" t="s">
        <v>44</v>
      </c>
      <c r="D16" s="15" t="s">
        <v>45</v>
      </c>
      <c r="E16" s="16">
        <v>72523.0</v>
      </c>
      <c r="F16" s="15">
        <f t="shared" si="1"/>
        <v>72523</v>
      </c>
      <c r="G16" s="15" t="s">
        <v>17</v>
      </c>
      <c r="H16" s="15" t="s">
        <v>46</v>
      </c>
      <c r="I16" s="17">
        <v>3424536.0</v>
      </c>
      <c r="J16" s="17">
        <f t="shared" si="4"/>
        <v>3424536.06</v>
      </c>
      <c r="K16" s="18">
        <v>47.22</v>
      </c>
      <c r="L16" s="19">
        <v>909000.0</v>
      </c>
      <c r="M16" s="19">
        <f t="shared" si="2"/>
        <v>4333536</v>
      </c>
      <c r="N16" s="19">
        <f t="shared" si="3"/>
        <v>4333536.06</v>
      </c>
    </row>
    <row r="17">
      <c r="A17" s="1"/>
      <c r="B17" s="13">
        <v>14.0</v>
      </c>
      <c r="C17" s="14" t="s">
        <v>47</v>
      </c>
      <c r="D17" s="15" t="s">
        <v>48</v>
      </c>
      <c r="E17" s="16">
        <v>243.0</v>
      </c>
      <c r="F17" s="15">
        <f t="shared" si="1"/>
        <v>243</v>
      </c>
      <c r="G17" s="15" t="s">
        <v>17</v>
      </c>
      <c r="H17" s="15" t="s">
        <v>21</v>
      </c>
      <c r="I17" s="17">
        <v>11474.0</v>
      </c>
      <c r="J17" s="17">
        <f t="shared" si="4"/>
        <v>11474.46</v>
      </c>
      <c r="K17" s="18">
        <v>47.22</v>
      </c>
      <c r="L17" s="19">
        <v>909000.0</v>
      </c>
      <c r="M17" s="19">
        <f t="shared" si="2"/>
        <v>920474</v>
      </c>
      <c r="N17" s="19">
        <f t="shared" si="3"/>
        <v>920474.46</v>
      </c>
    </row>
    <row r="18">
      <c r="A18" s="1"/>
      <c r="B18" s="13">
        <v>15.0</v>
      </c>
      <c r="C18" s="14" t="s">
        <v>49</v>
      </c>
      <c r="D18" s="15" t="s">
        <v>48</v>
      </c>
      <c r="E18" s="16">
        <v>97.0</v>
      </c>
      <c r="F18" s="15">
        <f t="shared" si="1"/>
        <v>97</v>
      </c>
      <c r="G18" s="15" t="s">
        <v>17</v>
      </c>
      <c r="H18" s="15" t="s">
        <v>50</v>
      </c>
      <c r="I18" s="17">
        <v>4580.0</v>
      </c>
      <c r="J18" s="17">
        <f t="shared" si="4"/>
        <v>4580.34</v>
      </c>
      <c r="K18" s="18">
        <v>47.22</v>
      </c>
      <c r="L18" s="19">
        <v>909000.0</v>
      </c>
      <c r="M18" s="19">
        <f t="shared" si="2"/>
        <v>913580</v>
      </c>
      <c r="N18" s="19">
        <f t="shared" si="3"/>
        <v>913580.34</v>
      </c>
    </row>
    <row r="19">
      <c r="A19" s="1"/>
      <c r="B19" s="24"/>
      <c r="C19" s="25" t="s">
        <v>51</v>
      </c>
      <c r="D19" s="26"/>
      <c r="E19" s="27">
        <f t="shared" ref="E19:F19" si="5">sum(E4:E18)</f>
        <v>239489</v>
      </c>
      <c r="F19" s="27">
        <f t="shared" si="5"/>
        <v>239489</v>
      </c>
      <c r="G19" s="26"/>
      <c r="H19" s="26"/>
      <c r="I19" s="28">
        <f t="shared" ref="I19:J19" si="6">sum(I4:I18)</f>
        <v>11308580</v>
      </c>
      <c r="J19" s="28">
        <f t="shared" si="6"/>
        <v>11308670.58</v>
      </c>
      <c r="K19" s="26"/>
      <c r="L19" s="29">
        <f t="shared" ref="L19:N19" si="7">SUM(L4:L18)</f>
        <v>13635000</v>
      </c>
      <c r="M19" s="30">
        <f t="shared" si="7"/>
        <v>24943580</v>
      </c>
      <c r="N19" s="29">
        <f t="shared" si="7"/>
        <v>24943670.58</v>
      </c>
    </row>
  </sheetData>
  <mergeCells count="10">
    <mergeCell ref="H2:H3"/>
    <mergeCell ref="I2:M2"/>
    <mergeCell ref="B1:N1"/>
    <mergeCell ref="B2:B3"/>
    <mergeCell ref="C2:C3"/>
    <mergeCell ref="D2:D3"/>
    <mergeCell ref="E2:E3"/>
    <mergeCell ref="F2:F3"/>
    <mergeCell ref="G2:G3"/>
    <mergeCell ref="N2:N3"/>
  </mergeCells>
  <drawing r:id="rId1"/>
</worksheet>
</file>